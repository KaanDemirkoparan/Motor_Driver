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Repositories\C2000_SW_repos\dmc_sdk\solutions\servo_drive_with_can\doc\"/>
    </mc:Choice>
  </mc:AlternateContent>
  <xr:revisionPtr revIDLastSave="0" documentId="13_ncr:1_{3B3328C1-8B60-4033-8611-8C24C3DA8DB3}" xr6:coauthVersionLast="36" xr6:coauthVersionMax="36" xr10:uidLastSave="{00000000-0000-0000-0000-000000000000}"/>
  <bookViews>
    <workbookView xWindow="0" yWindow="-15" windowWidth="4710" windowHeight="7515" tabRatio="540" xr2:uid="{00000000-000D-0000-FFFF-FFFF00000000}"/>
  </bookViews>
  <sheets>
    <sheet name="P65x" sheetId="55" r:id="rId1"/>
  </sheets>
  <definedNames>
    <definedName name="_abpj5">#REF!</definedName>
    <definedName name="_bpheaders">#REF!,#REF!,#REF!,#REF!,#REF!,#REF!,#REF!,#REF!</definedName>
    <definedName name="_bpj1">#REF!</definedName>
    <definedName name="_bpj2">#REF!</definedName>
    <definedName name="_bpj3">#REF!</definedName>
    <definedName name="_bpj4">#REF!</definedName>
    <definedName name="_bpj5">#REF!</definedName>
    <definedName name="_bpj6">#REF!</definedName>
    <definedName name="_bpj7">#REF!</definedName>
    <definedName name="_bpj8">#REF!</definedName>
    <definedName name="DMV1.3">#REF!</definedName>
    <definedName name="ww">#REF!</definedName>
  </definedNames>
  <calcPr calcId="191029"/>
</workbook>
</file>

<file path=xl/calcChain.xml><?xml version="1.0" encoding="utf-8"?>
<calcChain xmlns="http://schemas.openxmlformats.org/spreadsheetml/2006/main">
  <c r="E27" i="55" l="1"/>
  <c r="E33" i="55"/>
  <c r="E32" i="55"/>
  <c r="E17" i="55"/>
  <c r="E23" i="55" s="1"/>
  <c r="E11" i="55"/>
  <c r="E10" i="55"/>
  <c r="D10" i="55"/>
  <c r="D11" i="55"/>
  <c r="D17" i="55"/>
  <c r="D23" i="55" s="1"/>
  <c r="D18" i="55"/>
  <c r="D19" i="55" s="1"/>
  <c r="D27" i="55"/>
  <c r="D32" i="55"/>
  <c r="D33" i="55"/>
  <c r="D34" i="55" s="1"/>
  <c r="D35" i="55" s="1"/>
  <c r="D36" i="55" s="1"/>
  <c r="E34" i="55" l="1"/>
  <c r="E35" i="55" s="1"/>
  <c r="E36" i="55" s="1"/>
  <c r="E18" i="55"/>
  <c r="E19" i="55" s="1"/>
</calcChain>
</file>

<file path=xl/sharedStrings.xml><?xml version="1.0" encoding="utf-8"?>
<sst xmlns="http://schemas.openxmlformats.org/spreadsheetml/2006/main" count="41" uniqueCount="41">
  <si>
    <t>Voltage Divide Resistor 2 [kohm]</t>
  </si>
  <si>
    <t>Voltage Divide Resistor 3 [kohm]</t>
  </si>
  <si>
    <t>Maximum Sample Voltage [v]</t>
    <phoneticPr fontId="11" type="noConversion"/>
  </si>
  <si>
    <t>Voltage LPF Capacitor [nF]</t>
    <phoneticPr fontId="11" type="noConversion"/>
  </si>
  <si>
    <t>Voltage LPF Cut Frequency [Hz]</t>
    <phoneticPr fontId="11" type="noConversion"/>
  </si>
  <si>
    <t>Current Sample Resistor [ohm]</t>
    <phoneticPr fontId="11" type="noConversion"/>
  </si>
  <si>
    <t>Maximum Sample Current [A]</t>
    <phoneticPr fontId="11" type="noConversion"/>
  </si>
  <si>
    <t>Maximum Cal Sample Current [A]</t>
    <phoneticPr fontId="11" type="noConversion"/>
  </si>
  <si>
    <t>ADC Maximum Input Volatge [v]</t>
    <phoneticPr fontId="11" type="noConversion"/>
  </si>
  <si>
    <t>Voltage Sample Resistor [kohm]</t>
    <phoneticPr fontId="11" type="noConversion"/>
  </si>
  <si>
    <t>Voltage Divide Resistor 1 [kohm]</t>
    <phoneticPr fontId="11" type="noConversion"/>
  </si>
  <si>
    <t>Voltage LPF Filter Capacitor [nF]</t>
  </si>
  <si>
    <t>CPU Clock Frequency [MHz]</t>
    <phoneticPr fontId="8" type="noConversion"/>
  </si>
  <si>
    <t>Voltage Gain</t>
  </si>
  <si>
    <t>Phase Voltage</t>
  </si>
  <si>
    <t>Total Divide Resistor [kohm]</t>
    <phoneticPr fontId="8" type="noConversion"/>
  </si>
  <si>
    <t>Maximum Permit Power of Rs [W]</t>
    <phoneticPr fontId="8" type="noConversion"/>
  </si>
  <si>
    <t>PWM Period Time(us)</t>
  </si>
  <si>
    <t>PWM Period Register</t>
  </si>
  <si>
    <t>Voltage LPF Serial Resistor [ohm]</t>
  </si>
  <si>
    <t>Current Input Resistor [kohm]</t>
  </si>
  <si>
    <t>CPU</t>
  </si>
  <si>
    <t>MOTOR_1</t>
  </si>
  <si>
    <t>ADC Clock (MHz)</t>
  </si>
  <si>
    <t>PWM Clock (MHz)</t>
  </si>
  <si>
    <t>Switching Frequnecy</t>
  </si>
  <si>
    <t>PWM Frequency [KHz]</t>
  </si>
  <si>
    <t>Cloks and Input Range</t>
  </si>
  <si>
    <t>Actual Ampilfy Gain</t>
  </si>
  <si>
    <t>Phase/DC_link Current</t>
  </si>
  <si>
    <t>BST8323RS_RevA</t>
  </si>
  <si>
    <t>OPA Output/Feedback Resistor [kohm]</t>
  </si>
  <si>
    <t>Offset Output Voltage [V]</t>
  </si>
  <si>
    <t>Offset Sampling Resistor [kohm]</t>
  </si>
  <si>
    <t>Offset Divide Resistor [kohm]</t>
  </si>
  <si>
    <t>PWMDAC</t>
  </si>
  <si>
    <t>RC Filter resistor (ohm)</t>
  </si>
  <si>
    <t>RC Filter capacitor(nF)</t>
  </si>
  <si>
    <t>RC Filter Time Constant (us)</t>
  </si>
  <si>
    <t>RC Filter Cut-off frequency (kHz)</t>
  </si>
  <si>
    <t>DRV8300DRGE-EVM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</si>
</sst>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name val="Calibri"/>
      <family val="3"/>
      <charset val="134"/>
      <scheme val="minor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theme="0" tint="-0.2499465926084170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9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6" fillId="4" borderId="0">
      <alignment horizontal="left"/>
    </xf>
    <xf numFmtId="0" fontId="17" fillId="5" borderId="0">
      <alignment horizontal="center"/>
    </xf>
    <xf numFmtId="0" fontId="1" fillId="0" borderId="0"/>
  </cellStyleXfs>
  <cellXfs count="15">
    <xf numFmtId="0" fontId="0" fillId="0" borderId="0" xfId="0"/>
    <xf numFmtId="0" fontId="10" fillId="0" borderId="0" xfId="1" applyFont="1"/>
    <xf numFmtId="0" fontId="9" fillId="0" borderId="0" xfId="1"/>
    <xf numFmtId="0" fontId="12" fillId="0" borderId="0" xfId="1" applyFont="1" applyAlignment="1">
      <alignment horizontal="center"/>
    </xf>
    <xf numFmtId="0" fontId="13" fillId="2" borderId="0" xfId="1" applyFont="1" applyFill="1"/>
    <xf numFmtId="0" fontId="14" fillId="0" borderId="0" xfId="1" applyFont="1"/>
    <xf numFmtId="0" fontId="14" fillId="0" borderId="0" xfId="1" applyFont="1" applyAlignment="1">
      <alignment horizontal="center"/>
    </xf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2" fillId="2" borderId="0" xfId="1" applyFont="1" applyFill="1" applyAlignment="1">
      <alignment horizontal="center"/>
    </xf>
    <xf numFmtId="0" fontId="18" fillId="0" borderId="0" xfId="1" applyFont="1" applyAlignment="1">
      <alignment horizontal="center"/>
    </xf>
    <xf numFmtId="0" fontId="15" fillId="0" borderId="0" xfId="1" applyFont="1" applyAlignment="1">
      <alignment horizontal="center" vertical="center"/>
    </xf>
  </cellXfs>
  <cellStyles count="11">
    <cellStyle name="Normal" xfId="0" builtinId="0"/>
    <cellStyle name="Normal 2" xfId="3" xr:uid="{00000000-0005-0000-0000-000002000000}"/>
    <cellStyle name="Normal 3" xfId="4" xr:uid="{00000000-0005-0000-0000-000003000000}"/>
    <cellStyle name="Normal 3 2" xfId="5" xr:uid="{00000000-0005-0000-0000-000004000000}"/>
    <cellStyle name="Normal 3 3" xfId="6" xr:uid="{00000000-0005-0000-0000-000005000000}"/>
    <cellStyle name="Normal 4" xfId="7" xr:uid="{00000000-0005-0000-0000-000006000000}"/>
    <cellStyle name="too many shorts" xfId="8" xr:uid="{00000000-0005-0000-0000-000007000000}"/>
    <cellStyle name="Used" xfId="9" xr:uid="{00000000-0005-0000-0000-000008000000}"/>
    <cellStyle name="常规 2" xfId="1" xr:uid="{00000000-0005-0000-0000-000009000000}"/>
    <cellStyle name="常规 2 3" xfId="10" xr:uid="{5DDACC1A-D7D3-4FD1-8BDA-070DA4063731}"/>
    <cellStyle name="常规 3" xfId="2" xr:uid="{00000000-0005-0000-0000-00000A000000}"/>
  </cellStyles>
  <dxfs count="0"/>
  <tableStyles count="0" defaultTableStyle="TableStyleMedium9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4"/>
  <sheetViews>
    <sheetView tabSelected="1" zoomScale="80" zoomScaleNormal="8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27" sqref="I27"/>
    </sheetView>
  </sheetViews>
  <sheetFormatPr defaultColWidth="8.85546875" defaultRowHeight="15"/>
  <cols>
    <col min="1" max="1" width="1.28515625" style="1" customWidth="1"/>
    <col min="2" max="2" width="17.28515625" style="1" customWidth="1"/>
    <col min="3" max="3" width="38.85546875" style="1" bestFit="1" customWidth="1"/>
    <col min="4" max="4" width="19.140625" style="9" bestFit="1" customWidth="1"/>
    <col min="5" max="5" width="22" style="11" bestFit="1" customWidth="1"/>
    <col min="6" max="6" width="16.42578125" style="2" bestFit="1" customWidth="1"/>
    <col min="7" max="7" width="16.7109375" style="2" bestFit="1" customWidth="1"/>
    <col min="8" max="8" width="11.42578125" style="2" customWidth="1"/>
    <col min="9" max="9" width="10.42578125" style="2" customWidth="1"/>
    <col min="10" max="10" width="12.42578125" style="2" customWidth="1"/>
    <col min="11" max="16384" width="8.85546875" style="2"/>
  </cols>
  <sheetData>
    <row r="1" spans="2:5">
      <c r="C1" s="5"/>
      <c r="D1" s="6" t="s">
        <v>30</v>
      </c>
      <c r="E1" s="6" t="s">
        <v>40</v>
      </c>
    </row>
    <row r="2" spans="2:5">
      <c r="B2" s="14" t="s">
        <v>21</v>
      </c>
      <c r="C2" s="6" t="s">
        <v>27</v>
      </c>
      <c r="D2" s="1"/>
      <c r="E2" s="1"/>
    </row>
    <row r="3" spans="2:5">
      <c r="B3" s="14"/>
      <c r="C3" s="1" t="s">
        <v>12</v>
      </c>
      <c r="D3" s="10">
        <v>100</v>
      </c>
      <c r="E3" s="11">
        <v>100</v>
      </c>
    </row>
    <row r="4" spans="2:5">
      <c r="B4" s="14"/>
      <c r="C4" s="1" t="s">
        <v>24</v>
      </c>
      <c r="D4" s="10">
        <v>100</v>
      </c>
      <c r="E4" s="11">
        <v>100</v>
      </c>
    </row>
    <row r="5" spans="2:5">
      <c r="B5" s="14"/>
      <c r="C5" s="1" t="s">
        <v>23</v>
      </c>
      <c r="D5" s="10">
        <v>25</v>
      </c>
      <c r="E5" s="11">
        <v>25</v>
      </c>
    </row>
    <row r="6" spans="2:5">
      <c r="B6" s="14"/>
      <c r="C6" s="1" t="s">
        <v>8</v>
      </c>
      <c r="D6" s="10">
        <v>3</v>
      </c>
      <c r="E6" s="11">
        <v>3</v>
      </c>
    </row>
    <row r="7" spans="2:5" ht="7.5" customHeight="1">
      <c r="B7" s="8"/>
      <c r="C7" s="7"/>
      <c r="D7" s="8"/>
      <c r="E7" s="8"/>
    </row>
    <row r="8" spans="2:5">
      <c r="B8" s="14" t="s">
        <v>22</v>
      </c>
      <c r="C8" s="6" t="s">
        <v>25</v>
      </c>
      <c r="D8" s="10"/>
    </row>
    <row r="9" spans="2:5">
      <c r="B9" s="14"/>
      <c r="C9" s="1" t="s">
        <v>26</v>
      </c>
      <c r="D9" s="10">
        <v>15</v>
      </c>
      <c r="E9" s="11">
        <v>15</v>
      </c>
    </row>
    <row r="10" spans="2:5">
      <c r="B10" s="14"/>
      <c r="C10" s="1" t="s">
        <v>17</v>
      </c>
      <c r="D10" s="10">
        <f t="shared" ref="D10:E10" si="0">1/(D9*1000)*1000*1000</f>
        <v>66.666666666666671</v>
      </c>
      <c r="E10" s="11">
        <f t="shared" si="0"/>
        <v>66.666666666666671</v>
      </c>
    </row>
    <row r="11" spans="2:5">
      <c r="B11" s="14"/>
      <c r="C11" s="1" t="s">
        <v>18</v>
      </c>
      <c r="D11" s="10">
        <f t="shared" ref="D11:E11" si="1">INT((D$3*1000*1000)/(D9*1000)/2)</f>
        <v>3333</v>
      </c>
      <c r="E11" s="11">
        <f t="shared" si="1"/>
        <v>3333</v>
      </c>
    </row>
    <row r="12" spans="2:5">
      <c r="B12" s="14"/>
      <c r="C12" s="6" t="s">
        <v>14</v>
      </c>
      <c r="D12" s="10"/>
    </row>
    <row r="13" spans="2:5">
      <c r="B13" s="14"/>
      <c r="C13" s="1" t="s">
        <v>9</v>
      </c>
      <c r="D13" s="13">
        <v>4.99</v>
      </c>
      <c r="E13" s="13">
        <v>3.01</v>
      </c>
    </row>
    <row r="14" spans="2:5">
      <c r="B14" s="14"/>
      <c r="C14" s="1" t="s">
        <v>10</v>
      </c>
      <c r="D14" s="10">
        <v>82</v>
      </c>
      <c r="E14" s="11">
        <v>97.6</v>
      </c>
    </row>
    <row r="15" spans="2:5">
      <c r="B15" s="14"/>
      <c r="C15" s="1" t="s">
        <v>0</v>
      </c>
      <c r="D15" s="10">
        <v>0</v>
      </c>
      <c r="E15" s="11">
        <v>0</v>
      </c>
    </row>
    <row r="16" spans="2:5">
      <c r="B16" s="14"/>
      <c r="C16" s="1" t="s">
        <v>1</v>
      </c>
      <c r="D16" s="10">
        <v>0</v>
      </c>
      <c r="E16" s="11">
        <v>0</v>
      </c>
    </row>
    <row r="17" spans="2:5">
      <c r="B17" s="14"/>
      <c r="C17" s="1" t="s">
        <v>15</v>
      </c>
      <c r="D17" s="10">
        <f t="shared" ref="D17:E17" si="2">SUM(D14:D16)</f>
        <v>82</v>
      </c>
      <c r="E17" s="11">
        <f t="shared" si="2"/>
        <v>97.6</v>
      </c>
    </row>
    <row r="18" spans="2:5">
      <c r="B18" s="14"/>
      <c r="C18" s="1" t="s">
        <v>13</v>
      </c>
      <c r="D18" s="10">
        <f t="shared" ref="D18:E18" si="3">D13/(D13+D17)</f>
        <v>5.7362915277618123E-2</v>
      </c>
      <c r="E18" s="11">
        <f t="shared" si="3"/>
        <v>2.9917503230295198E-2</v>
      </c>
    </row>
    <row r="19" spans="2:5">
      <c r="B19" s="14"/>
      <c r="C19" s="4" t="s">
        <v>2</v>
      </c>
      <c r="D19" s="12">
        <f t="shared" ref="D19:E19" si="4">D$6/D18</f>
        <v>52.298597194388769</v>
      </c>
      <c r="E19" s="12">
        <f t="shared" si="4"/>
        <v>100.27574750830566</v>
      </c>
    </row>
    <row r="20" spans="2:5">
      <c r="B20" s="14"/>
      <c r="C20" s="1" t="s">
        <v>3</v>
      </c>
      <c r="D20" s="3">
        <v>47</v>
      </c>
      <c r="E20" s="3">
        <v>100</v>
      </c>
    </row>
    <row r="21" spans="2:5">
      <c r="B21" s="14"/>
      <c r="C21" s="1" t="s">
        <v>19</v>
      </c>
      <c r="D21" s="10">
        <v>51</v>
      </c>
      <c r="E21" s="11">
        <v>51</v>
      </c>
    </row>
    <row r="22" spans="2:5">
      <c r="B22" s="14"/>
      <c r="C22" s="1" t="s">
        <v>11</v>
      </c>
      <c r="D22" s="10">
        <v>2.2000000000000002</v>
      </c>
      <c r="E22" s="11">
        <v>2.2000000000000002</v>
      </c>
    </row>
    <row r="23" spans="2:5">
      <c r="B23" s="14"/>
      <c r="C23" s="4" t="s">
        <v>4</v>
      </c>
      <c r="D23" s="12">
        <f t="shared" ref="D23:E23" si="5">1/(2*PI()*((D17*D13)/(D17+D13)+D21/1000)*1000*(D20+D22)/1000/1000/1000)</f>
        <v>680.34079771666097</v>
      </c>
      <c r="E23" s="12">
        <f t="shared" si="5"/>
        <v>524.17238742982727</v>
      </c>
    </row>
    <row r="24" spans="2:5">
      <c r="B24" s="14"/>
      <c r="C24" s="2"/>
      <c r="D24" s="2"/>
      <c r="E24" s="2"/>
    </row>
    <row r="25" spans="2:5">
      <c r="B25" s="14"/>
      <c r="C25" s="2"/>
      <c r="D25" s="2"/>
      <c r="E25" s="2"/>
    </row>
    <row r="26" spans="2:5">
      <c r="B26" s="14"/>
      <c r="C26" s="6" t="s">
        <v>29</v>
      </c>
      <c r="D26" s="10"/>
    </row>
    <row r="27" spans="2:5">
      <c r="B27" s="14"/>
      <c r="C27" s="1" t="s">
        <v>5</v>
      </c>
      <c r="D27" s="13">
        <f>0.007</f>
        <v>7.0000000000000001E-3</v>
      </c>
      <c r="E27" s="13">
        <f>0.003</f>
        <v>3.0000000000000001E-3</v>
      </c>
    </row>
    <row r="28" spans="2:5">
      <c r="B28" s="14"/>
      <c r="C28" s="1" t="s">
        <v>20</v>
      </c>
      <c r="D28" s="10">
        <v>1</v>
      </c>
      <c r="E28" s="11">
        <v>4.99</v>
      </c>
    </row>
    <row r="29" spans="2:5">
      <c r="B29" s="14"/>
      <c r="C29" s="1" t="s">
        <v>31</v>
      </c>
      <c r="D29" s="10">
        <v>20</v>
      </c>
      <c r="E29" s="11">
        <v>49.9</v>
      </c>
    </row>
    <row r="30" spans="2:5">
      <c r="B30" s="14"/>
      <c r="C30" s="1" t="s">
        <v>34</v>
      </c>
      <c r="D30" s="10">
        <v>2</v>
      </c>
      <c r="E30" s="11">
        <v>100</v>
      </c>
    </row>
    <row r="31" spans="2:5">
      <c r="B31" s="14"/>
      <c r="C31" s="1" t="s">
        <v>33</v>
      </c>
      <c r="D31" s="10">
        <v>2</v>
      </c>
      <c r="E31" s="11">
        <v>100</v>
      </c>
    </row>
    <row r="32" spans="2:5">
      <c r="B32" s="14"/>
      <c r="C32" s="1" t="s">
        <v>32</v>
      </c>
      <c r="D32" s="10">
        <f t="shared" ref="D32:E32" si="6">D6*D31/(D31+D30)</f>
        <v>1.5</v>
      </c>
      <c r="E32" s="11">
        <f t="shared" si="6"/>
        <v>1.5</v>
      </c>
    </row>
    <row r="33" spans="2:5">
      <c r="B33" s="14"/>
      <c r="C33" s="1" t="s">
        <v>28</v>
      </c>
      <c r="D33" s="13">
        <f t="shared" ref="D33:E33" si="7">D29/D28</f>
        <v>20</v>
      </c>
      <c r="E33" s="13">
        <f t="shared" si="7"/>
        <v>10</v>
      </c>
    </row>
    <row r="34" spans="2:5">
      <c r="B34" s="14"/>
      <c r="C34" s="4" t="s">
        <v>6</v>
      </c>
      <c r="D34" s="12">
        <f t="shared" ref="D34:E34" si="8">D$6/D33/D27</f>
        <v>21.428571428571427</v>
      </c>
      <c r="E34" s="12">
        <f t="shared" si="8"/>
        <v>100</v>
      </c>
    </row>
    <row r="35" spans="2:5">
      <c r="B35" s="14"/>
      <c r="C35" s="1" t="s">
        <v>7</v>
      </c>
      <c r="D35" s="10">
        <f t="shared" ref="D35:E35" si="9">D34/2</f>
        <v>10.714285714285714</v>
      </c>
      <c r="E35" s="11">
        <f t="shared" si="9"/>
        <v>50</v>
      </c>
    </row>
    <row r="36" spans="2:5">
      <c r="B36" s="14"/>
      <c r="C36" s="1" t="s">
        <v>16</v>
      </c>
      <c r="D36" s="10">
        <f t="shared" ref="D36:E36" si="10">(D35/SQRT(2))^2*D27*2/3</f>
        <v>0.26785714285714274</v>
      </c>
      <c r="E36" s="11">
        <f t="shared" si="10"/>
        <v>2.4999999999999991</v>
      </c>
    </row>
    <row r="37" spans="2:5" ht="6.6" customHeight="1">
      <c r="B37" s="8"/>
      <c r="C37" s="7"/>
      <c r="D37" s="8"/>
      <c r="E37" s="8"/>
    </row>
    <row r="38" spans="2:5">
      <c r="D38" s="2"/>
      <c r="E38" s="2"/>
    </row>
    <row r="40" spans="2:5">
      <c r="C40" s="1" t="s">
        <v>35</v>
      </c>
    </row>
    <row r="41" spans="2:5">
      <c r="C41" s="1" t="s">
        <v>36</v>
      </c>
      <c r="D41" s="1"/>
      <c r="E41" s="1"/>
    </row>
    <row r="42" spans="2:5">
      <c r="C42" s="1" t="s">
        <v>37</v>
      </c>
      <c r="D42" s="1"/>
      <c r="E42" s="1"/>
    </row>
    <row r="43" spans="2:5">
      <c r="C43" s="1" t="s">
        <v>38</v>
      </c>
      <c r="D43" s="1"/>
      <c r="E43" s="1"/>
    </row>
    <row r="44" spans="2:5">
      <c r="C44" s="1" t="s">
        <v>39</v>
      </c>
      <c r="D44" s="1"/>
      <c r="E44" s="1"/>
    </row>
  </sheetData>
  <mergeCells count="2">
    <mergeCell ref="B2:B6"/>
    <mergeCell ref="B8:B36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P65x</vt:lpstr>
    </vt:vector>
  </TitlesOfParts>
  <Manager>David Figoli</Manager>
  <Company>Texas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PID gain configuration</dc:title>
  <dc:subject>PID gain configuration</dc:subject>
  <dc:creator>Mongkol Konghirun</dc:creator>
  <cp:lastModifiedBy>Allen, Kevin</cp:lastModifiedBy>
  <cp:lastPrinted>2005-07-11T07:56:53Z</cp:lastPrinted>
  <dcterms:created xsi:type="dcterms:W3CDTF">2000-02-03T19:38:48Z</dcterms:created>
  <dcterms:modified xsi:type="dcterms:W3CDTF">2024-10-22T16:42:29Z</dcterms:modified>
</cp:coreProperties>
</file>